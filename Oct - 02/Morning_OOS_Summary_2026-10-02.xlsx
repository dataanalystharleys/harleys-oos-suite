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MORNING OO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<sst xmlns="http://schemas.openxmlformats.org/spreadsheetml/2006/main" count="92" uniqueCount="51">
  <si>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Total Outlets: 22</t>
  </si>
  <si>
    <t>Total Items with OOS: 61</t>
  </si>
  <si>
    <t>S/No</t>
  </si>
  <si>
    <t>Date</t>
  </si>
  <si>
    <t>CITY</t>
  </si>
  <si>
    <t>Branch Name</t>
  </si>
  <si>
    <t>Outlet Timing</t>
  </si>
  <si>
    <t>Top 20 Rank</t>
  </si>
  <si>
    <t>Item Name</t>
  </si>
  <si>
    <t>AP-VIJ-Cloud FC Guntur</t>
  </si>
  <si>
    <t>Harley's Spl. Classic Russian Medovik With Macaron</t>
  </si>
  <si>
    <t>Italian Tiramisu Medovik With Macaron</t>
  </si>
  <si>
    <t>Austrian White Forest Medovik With Macaron</t>
  </si>
  <si>
    <t>Ferrero Nutella Medovik With Macaron</t>
  </si>
  <si>
    <t>Signature Belgium Chocolate Medovik With Macaron</t>
  </si>
  <si>
    <t>KA-BLR-Cloud FC Basaveshwara Nagar</t>
  </si>
  <si>
    <t>Pack Of 9 Medoviks And 6 Macarons</t>
  </si>
  <si>
    <t>KA-BLR-Cloud FC Koramangala</t>
  </si>
  <si>
    <t>KA-BLR-Cloud FC Mahadevpura</t>
  </si>
  <si>
    <t>Assorted Cheesecakes (Pack Of 6)</t>
  </si>
  <si>
    <t>Pack Of 4 Cheesecakes And 4 Macarons</t>
  </si>
  <si>
    <t>Pack Of 4 Medoviks And 4 Macarons</t>
  </si>
  <si>
    <t>Assorted Medoviks (Pack Of 6)</t>
  </si>
  <si>
    <t>KA-BLR-Cloud FC NBL</t>
  </si>
  <si>
    <t>Assorted French Macarons (Pack Of 12)</t>
  </si>
  <si>
    <t>KA-BLR-Cloud FC Nagawara</t>
  </si>
  <si>
    <t>KA-BLR-Cloud FC Whitefield</t>
  </si>
  <si>
    <t>MH-MUM-Cloud FC Thane</t>
  </si>
  <si>
    <t>Assorted French Macarons (Pack Of 5)</t>
  </si>
  <si>
    <t>Sparkling Dark Chocolate Medovik With Macaron</t>
  </si>
  <si>
    <t>Danish Hazelnut Chocolate Medovik With Macaron</t>
  </si>
  <si>
    <t>MH-MUM-Express Outlet Palladium</t>
  </si>
  <si>
    <t>Italian Cappuccino</t>
  </si>
  <si>
    <t>MH-PUN-Cloud FC Hinjewadi</t>
  </si>
  <si>
    <t>Lotus Biscoff Cheesecake With Macaron</t>
  </si>
  <si>
    <t>Chef's Favourite Blueberry Cheesecake With Macaron</t>
  </si>
  <si>
    <t>Belgium Chocolate Cheesecake With Macaron</t>
  </si>
  <si>
    <t>NCR - Cloud FC- Sec 66 Gurgaon</t>
  </si>
  <si>
    <t>TG-HYD-Cloud FC Banjara Hill</t>
  </si>
  <si>
    <t>TG-HYD-Cloud FC Chanda Nagar</t>
  </si>
  <si>
    <t>TG-HYD-Cloud FC Dilshuk Nagar</t>
  </si>
  <si>
    <t>TG-HYD-Cloud FC Gopanpally</t>
  </si>
  <si>
    <t>TG-HYD-Cloud FC Habsiguda</t>
  </si>
  <si>
    <t>TG-HYD-Cloud FC Kondapur</t>
  </si>
  <si>
    <t>Lotus Biscoff Medovik With Macaron</t>
  </si>
  <si>
    <t>TG-HYD-Cloud FC Kukatpally</t>
  </si>
  <si>
    <t>TG-HYD-Express Outlet Kapil Tower</t>
  </si>
  <si>
    <t>TG-HYD-Express Outlet Madhapur</t>
  </si>
  <si>
    <t>TG-HYD-Express Outlet Odeon Mall</t>
  </si>
  <si>
    <t>Classic Hot Chocolate</t>
  </si>
  <si>
    <t>TG-HYD-Ivory Lounge Nanakramguda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</si>
</sst>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h:mm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2E6"/>
        <bgColor indexed="64"/>
      </patternFill>
    </fill>
    <fill>
      <patternFill patternType="solid">
        <fgColor rgb="FFF2E1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ont="1" applyFill="1" applyAlignment="1"/>
    <xf numFmtId="180" fontId="1" fillId="2" borderId="0" xfId="0" applyNumberFormat="1" applyFont="1" applyFill="1" applyAlignment="1"/>
    <xf numFmtId="0" fontId="1" fillId="2" borderId="0" xfId="0" applyFont="1" applyFill="1" applyAlignment="1"/>
    <xf numFmtId="0" fontId="1" fillId="3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180" fontId="0" fillId="0" borderId="1" xfId="0" applyNumberFormat="1" applyFont="1" applyFill="1" applyBorder="1" applyAlignment="1">
      <alignment horizontal="center"/>
    </xf>
    <xf numFmtId="0" fontId="0" fillId="0" borderId="1" xfId="0" applyFont="1" applyFill="1" applyBorder="1" applyAlignment="1"/>
    <xf numFmtId="181" fontId="0" fillId="0" borderId="1" xfId="0" applyNumberFormat="1" applyFont="1" applyFill="1" applyBorder="1" applyAlignment="1">
      <alignment horizontal="center"/>
    </xf>
    <xf numFmtId="0" fontId="0" fillId="4" borderId="1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3"/>
  <sheetViews>
    <sheetView tabSelected="1" workbookViewId="0">
      <selection activeCell="A1" sqref="A1"/>
    </sheetView>
  </sheetViews>
  <sheetFormatPr defaultColWidth="8.72727272727273" defaultRowHeight="14.5" outlineLevelCol="6"/>
  <cols>
    <col min="1" max="1" width="5.63636363636364" style="1" customWidth="1"/>
    <col min="2" max="2" width="11" style="1" customWidth="1"/>
    <col min="3" max="3" width="16.1818181818182" style="1" customWidth="1"/>
    <col min="4" max="4" width="35.9090909090909" style="1" customWidth="1"/>
    <col min="5" max="5" width="13.2727272727273" style="1" customWidth="1"/>
    <col min="6" max="6" width="12.0909090909091" style="1" customWidth="1"/>
    <col min="7" max="7" width="50.5454545454545" style="1" customWidth="1"/>
    <col min="8" max="16384" width="8.72727272727273" style="1"/>
  </cols>
  <sheetData>
    <row r="1" spans="1:7">
      <c r="B1" s="2">
        <v>46297</v>
      </c>
      <c r="C1" s="3" t="s">
        <v>0</v>
      </c>
      <c r="D1" s="3" t="s">
        <v>1</v>
      </c>
      <c r="E1" s="3"/>
      <c r="F1" s="3"/>
      <c r="G1" s="3"/>
    </row>
    <row r="2" spans="1:7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</row>
    <row r="3" spans="1:7">
      <c r="A3" s="5">
        <v>1</v>
      </c>
      <c r="B3" s="6">
        <v>46297</v>
      </c>
      <c r="C3" s="5" t="str">
        <f>IFERROR(__xludf.DUMMYFUNCTION("IFS(REGEXMATCH(A82,""PUN""),""PUN"",REGEXMATCH(A82,""NCR""),""NCR"",REGEXMATCH(A82,""BLR""),""BLR"",REGEXMATCH(A82,""VIJ""),""AP"",REGEXMATCH(A82,""HYD""),""HYD"",REGEXMATCH(A82,""MUM""),""MUM"")"),"AP")</f>
        <v>AP</v>
      </c>
      <c r="D3" s="7" t="s">
        <v>9</v>
      </c>
      <c r="E3" s="8">
        <v>0.375</v>
      </c>
      <c r="F3" s="5">
        <v>1</v>
      </c>
      <c r="G3" s="9" t="s">
        <v>10</v>
      </c>
    </row>
    <row r="4" spans="1:7">
      <c r="A4" s="5"/>
      <c r="B4" s="6">
        <v>46297</v>
      </c>
      <c r="C4" s="5"/>
      <c r="D4" s="7"/>
      <c r="E4" s="8">
        <v>0.375</v>
      </c>
      <c r="F4" s="5">
        <v>7</v>
      </c>
      <c r="G4" s="9" t="s">
        <v>11</v>
      </c>
    </row>
    <row r="5" spans="1:7">
      <c r="A5" s="5"/>
      <c r="B5" s="6">
        <v>46297</v>
      </c>
      <c r="C5" s="5"/>
      <c r="D5" s="7"/>
      <c r="E5" s="8">
        <v>0.375</v>
      </c>
      <c r="F5" s="5">
        <v>14</v>
      </c>
      <c r="G5" s="9" t="s">
        <v>12</v>
      </c>
    </row>
    <row r="6" spans="1:7">
      <c r="A6" s="5"/>
      <c r="B6" s="6">
        <v>46297</v>
      </c>
      <c r="C6" s="5"/>
      <c r="D6" s="7"/>
      <c r="E6" s="8">
        <v>0.375</v>
      </c>
      <c r="F6" s="5">
        <v>17</v>
      </c>
      <c r="G6" s="9" t="s">
        <v>13</v>
      </c>
    </row>
    <row r="7" spans="1:7">
      <c r="A7" s="5"/>
      <c r="B7" s="6">
        <v>46297</v>
      </c>
      <c r="C7" s="5"/>
      <c r="D7" s="7"/>
      <c r="E7" s="8">
        <v>0.375</v>
      </c>
      <c r="F7" s="5">
        <v>19</v>
      </c>
      <c r="G7" s="9" t="s">
        <v>14</v>
      </c>
    </row>
    <row r="8" spans="1:7">
      <c r="A8" s="5">
        <v>2</v>
      </c>
      <c r="B8" s="6">
        <v>46297</v>
      </c>
      <c r="C8" s="5" t="str">
        <f>IFERROR(__xludf.DUMMYFUNCTION("IFS(REGEXMATCH(A17,""PUN""),""PUN"",REGEXMATCH(A17,""NCR""),""NCR"",REGEXMATCH(A17,""BLR""),""BLR"",REGEXMATCH(A17,""VIJ""),""AP"",REGEXMATCH(A17,""HYD""),""HYD"",REGEXMATCH(A17,""MUM""),""MUM"")"),"BLR")</f>
        <v>BLR</v>
      </c>
      <c r="D8" s="7" t="s">
        <v>15</v>
      </c>
      <c r="E8" s="8">
        <v>0.375</v>
      </c>
      <c r="F8" s="5">
        <v>16</v>
      </c>
      <c r="G8" s="9" t="s">
        <v>16</v>
      </c>
    </row>
    <row r="9" spans="1:7">
      <c r="A9" s="5">
        <v>3</v>
      </c>
      <c r="B9" s="6">
        <v>46297</v>
      </c>
      <c r="C9" s="5" t="str">
        <f>IFERROR(__xludf.DUMMYFUNCTION("IFS(REGEXMATCH(A22,""PUN""),""PUN"",REGEXMATCH(A22,""NCR""),""NCR"",REGEXMATCH(A22,""BLR""),""BLR"",REGEXMATCH(A22,""VIJ""),""AP"",REGEXMATCH(A22,""HYD""),""HYD"",REGEXMATCH(A22,""MUM""),""MUM"")"),"BLR")</f>
        <v>BLR</v>
      </c>
      <c r="D9" s="7" t="s">
        <v>17</v>
      </c>
      <c r="E9" s="8">
        <v>0.375</v>
      </c>
      <c r="F9" s="5">
        <v>7</v>
      </c>
      <c r="G9" s="9" t="s">
        <v>11</v>
      </c>
    </row>
    <row r="10" spans="1:7">
      <c r="A10" s="5">
        <v>4</v>
      </c>
      <c r="B10" s="6">
        <v>46297</v>
      </c>
      <c r="C10" s="5" t="str">
        <f>IFERROR(__xludf.DUMMYFUNCTION("IFS(REGEXMATCH(A23,""PUN""),""PUN"",REGEXMATCH(A23,""NCR""),""NCR"",REGEXMATCH(A23,""BLR""),""BLR"",REGEXMATCH(A23,""VIJ""),""AP"",REGEXMATCH(A23,""HYD""),""HYD"",REGEXMATCH(A23,""MUM""),""MUM"")"),"BLR")</f>
        <v>BLR</v>
      </c>
      <c r="D10" s="7" t="s">
        <v>18</v>
      </c>
      <c r="E10" s="8">
        <v>0.416666666666667</v>
      </c>
      <c r="F10" s="5">
        <v>4</v>
      </c>
      <c r="G10" s="9" t="s">
        <v>19</v>
      </c>
    </row>
    <row r="11" spans="1:7">
      <c r="A11" s="5"/>
      <c r="B11" s="6">
        <v>46297</v>
      </c>
      <c r="C11" s="5"/>
      <c r="D11" s="7"/>
      <c r="E11" s="8">
        <v>0.416666666666667</v>
      </c>
      <c r="F11" s="5">
        <v>9</v>
      </c>
      <c r="G11" s="9" t="s">
        <v>11</v>
      </c>
    </row>
    <row r="12" spans="1:7">
      <c r="A12" s="5"/>
      <c r="B12" s="6">
        <v>46297</v>
      </c>
      <c r="C12" s="5"/>
      <c r="D12" s="7"/>
      <c r="E12" s="8">
        <v>0.416666666666667</v>
      </c>
      <c r="F12" s="5">
        <v>10</v>
      </c>
      <c r="G12" s="9" t="s">
        <v>20</v>
      </c>
    </row>
    <row r="13" spans="1:7">
      <c r="A13" s="5"/>
      <c r="B13" s="6">
        <v>46297</v>
      </c>
      <c r="C13" s="5"/>
      <c r="D13" s="7"/>
      <c r="E13" s="8">
        <v>0.416666666666667</v>
      </c>
      <c r="F13" s="5">
        <v>11</v>
      </c>
      <c r="G13" s="9" t="s">
        <v>21</v>
      </c>
    </row>
    <row r="14" spans="1:7">
      <c r="A14" s="5"/>
      <c r="B14" s="6">
        <v>46297</v>
      </c>
      <c r="C14" s="5"/>
      <c r="D14" s="7"/>
      <c r="E14" s="8">
        <v>0.416666666666667</v>
      </c>
      <c r="F14" s="5">
        <v>17</v>
      </c>
      <c r="G14" s="9" t="s">
        <v>22</v>
      </c>
    </row>
    <row r="15" spans="1:7">
      <c r="A15" s="5">
        <v>5</v>
      </c>
      <c r="B15" s="6">
        <v>46297</v>
      </c>
      <c r="C15" s="5" t="str">
        <f>IFERROR(__xludf.DUMMYFUNCTION("IFS(REGEXMATCH(A26,""PUN""),""PUN"",REGEXMATCH(A26,""NCR""),""NCR"",REGEXMATCH(A26,""BLR""),""BLR"",REGEXMATCH(A26,""VIJ""),""AP"",REGEXMATCH(A26,""HYD""),""HYD"",REGEXMATCH(A26,""MUM""),""MUM"")"),"BLR")</f>
        <v>BLR</v>
      </c>
      <c r="D15" s="7" t="s">
        <v>23</v>
      </c>
      <c r="E15" s="8">
        <v>0.416666666666667</v>
      </c>
      <c r="F15" s="5">
        <v>16</v>
      </c>
      <c r="G15" s="9" t="s">
        <v>24</v>
      </c>
    </row>
    <row r="16" spans="1:7">
      <c r="A16" s="5">
        <v>6</v>
      </c>
      <c r="B16" s="6">
        <v>46297</v>
      </c>
      <c r="C16" s="5" t="str">
        <f>IFERROR(__xludf.DUMMYFUNCTION("IFS(REGEXMATCH(A25,""PUN""),""PUN"",REGEXMATCH(A25,""NCR""),""NCR"",REGEXMATCH(A25,""BLR""),""BLR"",REGEXMATCH(A25,""VIJ""),""AP"",REGEXMATCH(A25,""HYD""),""HYD"",REGEXMATCH(A25,""MUM""),""MUM"")"),"BLR")</f>
        <v>BLR</v>
      </c>
      <c r="D16" s="7" t="s">
        <v>25</v>
      </c>
      <c r="E16" s="8">
        <v>0.416666666666667</v>
      </c>
      <c r="F16" s="5">
        <v>11</v>
      </c>
      <c r="G16" s="9" t="s">
        <v>11</v>
      </c>
    </row>
    <row r="17" spans="1:7">
      <c r="A17" s="5">
        <v>7</v>
      </c>
      <c r="B17" s="6">
        <v>46297</v>
      </c>
      <c r="C17" s="5" t="str">
        <f>IFERROR(__xludf.DUMMYFUNCTION("IFS(REGEXMATCH(A29,""PUN""),""PUN"",REGEXMATCH(A29,""NCR""),""NCR"",REGEXMATCH(A29,""BLR""),""BLR"",REGEXMATCH(A29,""VIJ""),""AP"",REGEXMATCH(A29,""HYD""),""HYD"",REGEXMATCH(A29,""MUM""),""MUM"")"),"BLR")</f>
        <v>BLR</v>
      </c>
      <c r="D17" s="7" t="s">
        <v>26</v>
      </c>
      <c r="E17" s="8">
        <v>0.375</v>
      </c>
      <c r="F17" s="5">
        <v>20</v>
      </c>
      <c r="G17" s="9" t="s">
        <v>24</v>
      </c>
    </row>
    <row r="18" spans="1:7">
      <c r="A18" s="5">
        <v>8</v>
      </c>
      <c r="B18" s="6">
        <v>46297</v>
      </c>
      <c r="C18" s="5" t="str">
        <f>IFERROR(__xludf.DUMMYFUNCTION("IFS(REGEXMATCH(A45,""PUN""),""PUN"",REGEXMATCH(A45,""NCR""),""NCR"",REGEXMATCH(A45,""BLR""),""BLR"",REGEXMATCH(A45,""VIJ""),""AP"",REGEXMATCH(A45,""HYD""),""HYD"",REGEXMATCH(A45,""MUM""),""MUM"")"),"MUM")</f>
        <v>MUM</v>
      </c>
      <c r="D18" s="7" t="s">
        <v>27</v>
      </c>
      <c r="E18" s="8">
        <v>0.375</v>
      </c>
      <c r="F18" s="5">
        <v>3</v>
      </c>
      <c r="G18" s="9" t="s">
        <v>14</v>
      </c>
    </row>
    <row r="19" spans="1:7">
      <c r="A19" s="5"/>
      <c r="B19" s="6">
        <v>46297</v>
      </c>
      <c r="C19" s="5"/>
      <c r="D19" s="7"/>
      <c r="E19" s="8">
        <v>0.375</v>
      </c>
      <c r="F19" s="5">
        <v>5</v>
      </c>
      <c r="G19" s="9" t="s">
        <v>24</v>
      </c>
    </row>
    <row r="20" spans="1:7">
      <c r="A20" s="5"/>
      <c r="B20" s="6">
        <v>46297</v>
      </c>
      <c r="C20" s="5"/>
      <c r="D20" s="7"/>
      <c r="E20" s="8">
        <v>0.375</v>
      </c>
      <c r="F20" s="5">
        <v>8</v>
      </c>
      <c r="G20" s="9" t="s">
        <v>28</v>
      </c>
    </row>
    <row r="21" spans="1:7">
      <c r="A21" s="5"/>
      <c r="B21" s="6">
        <v>46297</v>
      </c>
      <c r="C21" s="5"/>
      <c r="D21" s="7"/>
      <c r="E21" s="8">
        <v>0.375</v>
      </c>
      <c r="F21" s="5">
        <v>9</v>
      </c>
      <c r="G21" s="9" t="s">
        <v>11</v>
      </c>
    </row>
    <row r="22" spans="1:7">
      <c r="A22" s="5"/>
      <c r="B22" s="6">
        <v>46297</v>
      </c>
      <c r="C22" s="5"/>
      <c r="D22" s="7"/>
      <c r="E22" s="8">
        <v>0.375</v>
      </c>
      <c r="F22" s="5">
        <v>10</v>
      </c>
      <c r="G22" s="9" t="s">
        <v>10</v>
      </c>
    </row>
    <row r="23" spans="1:7">
      <c r="A23" s="5"/>
      <c r="B23" s="6">
        <v>46297</v>
      </c>
      <c r="C23" s="5"/>
      <c r="D23" s="7"/>
      <c r="E23" s="8">
        <v>0.375</v>
      </c>
      <c r="F23" s="5">
        <v>13</v>
      </c>
      <c r="G23" s="9" t="s">
        <v>20</v>
      </c>
    </row>
    <row r="24" spans="1:7">
      <c r="A24" s="5"/>
      <c r="B24" s="6">
        <v>46297</v>
      </c>
      <c r="C24" s="5"/>
      <c r="D24" s="7"/>
      <c r="E24" s="8">
        <v>0.375</v>
      </c>
      <c r="F24" s="5">
        <v>16</v>
      </c>
      <c r="G24" s="9" t="s">
        <v>29</v>
      </c>
    </row>
    <row r="25" spans="1:7">
      <c r="A25" s="5"/>
      <c r="B25" s="6">
        <v>46297</v>
      </c>
      <c r="C25" s="5"/>
      <c r="D25" s="7"/>
      <c r="E25" s="8">
        <v>0.375</v>
      </c>
      <c r="F25" s="5">
        <v>19</v>
      </c>
      <c r="G25" s="9" t="s">
        <v>19</v>
      </c>
    </row>
    <row r="26" spans="1:7">
      <c r="A26" s="5"/>
      <c r="B26" s="6">
        <v>46297</v>
      </c>
      <c r="C26" s="5"/>
      <c r="D26" s="7"/>
      <c r="E26" s="8">
        <v>0.375</v>
      </c>
      <c r="F26" s="5">
        <v>20</v>
      </c>
      <c r="G26" s="9" t="s">
        <v>30</v>
      </c>
    </row>
    <row r="27" spans="1:7">
      <c r="A27" s="5">
        <v>9</v>
      </c>
      <c r="B27" s="6">
        <v>46297</v>
      </c>
      <c r="C27" s="5" t="str">
        <f>IFERROR(__xludf.DUMMYFUNCTION("IFS(REGEXMATCH(A47,""PUN""),""PUN"",REGEXMATCH(A47,""NCR""),""NCR"",REGEXMATCH(A47,""BLR""),""BLR"",REGEXMATCH(A47,""VIJ""),""AP"",REGEXMATCH(A47,""HYD""),""HYD"",REGEXMATCH(A47,""MUM""),""MUM"")"),"MUM")</f>
        <v>MUM</v>
      </c>
      <c r="D27" s="7" t="s">
        <v>31</v>
      </c>
      <c r="E27" s="8">
        <v>0.458333333333333</v>
      </c>
      <c r="F27" s="5">
        <v>13</v>
      </c>
      <c r="G27" s="9" t="s">
        <v>32</v>
      </c>
    </row>
    <row r="28" spans="1:7">
      <c r="A28" s="5">
        <v>10</v>
      </c>
      <c r="B28" s="6">
        <v>46297</v>
      </c>
      <c r="C28" s="5" t="str">
        <f>IFERROR(__xludf.DUMMYFUNCTION("IFS(REGEXMATCH(A49,""PUN""),""PUN"",REGEXMATCH(A49,""NCR""),""NCR"",REGEXMATCH(A49,""BLR""),""BLR"",REGEXMATCH(A49,""VIJ""),""AP"",REGEXMATCH(A49,""HYD""),""HYD"",REGEXMATCH(A49,""MUM""),""MUM"")"),"PUN")</f>
        <v>PUN</v>
      </c>
      <c r="D28" s="7" t="s">
        <v>33</v>
      </c>
      <c r="E28" s="8">
        <v>0.375</v>
      </c>
      <c r="F28" s="5">
        <v>2</v>
      </c>
      <c r="G28" s="9" t="s">
        <v>34</v>
      </c>
    </row>
    <row r="29" spans="1:7">
      <c r="A29" s="5"/>
      <c r="B29" s="6">
        <v>46297</v>
      </c>
      <c r="C29" s="5"/>
      <c r="D29" s="7"/>
      <c r="E29" s="8">
        <v>0.375</v>
      </c>
      <c r="F29" s="5">
        <v>5</v>
      </c>
      <c r="G29" s="9" t="s">
        <v>35</v>
      </c>
    </row>
    <row r="30" spans="1:7">
      <c r="A30" s="5"/>
      <c r="B30" s="6">
        <v>46297</v>
      </c>
      <c r="C30" s="5"/>
      <c r="D30" s="7"/>
      <c r="E30" s="8">
        <v>0.375</v>
      </c>
      <c r="F30" s="5">
        <v>7</v>
      </c>
      <c r="G30" s="9" t="s">
        <v>20</v>
      </c>
    </row>
    <row r="31" spans="1:7">
      <c r="A31" s="5"/>
      <c r="B31" s="6">
        <v>46297</v>
      </c>
      <c r="C31" s="5"/>
      <c r="D31" s="7"/>
      <c r="E31" s="8">
        <v>0.375</v>
      </c>
      <c r="F31" s="5">
        <v>12</v>
      </c>
      <c r="G31" s="9" t="s">
        <v>19</v>
      </c>
    </row>
    <row r="32" spans="1:7">
      <c r="A32" s="5"/>
      <c r="B32" s="6">
        <v>46297</v>
      </c>
      <c r="C32" s="5"/>
      <c r="D32" s="7"/>
      <c r="E32" s="8">
        <v>0.375</v>
      </c>
      <c r="F32" s="5">
        <v>14</v>
      </c>
      <c r="G32" s="9" t="s">
        <v>21</v>
      </c>
    </row>
    <row r="33" spans="1:7">
      <c r="A33" s="5"/>
      <c r="B33" s="6">
        <v>46297</v>
      </c>
      <c r="C33" s="5"/>
      <c r="D33" s="7"/>
      <c r="E33" s="8">
        <v>0.375</v>
      </c>
      <c r="F33" s="5">
        <v>20</v>
      </c>
      <c r="G33" s="9" t="s">
        <v>36</v>
      </c>
    </row>
    <row r="34" spans="1:7">
      <c r="A34" s="5">
        <v>11</v>
      </c>
      <c r="B34" s="6">
        <v>46297</v>
      </c>
      <c r="C34" s="5" t="str">
        <f>IFERROR(__xludf.DUMMYFUNCTION("IFS(REGEXMATCH(A83,""PUN""),""PUN"",REGEXMATCH(A83,""NCR""),""NCR"",REGEXMATCH(A83,""BLR""),""BLR"",REGEXMATCH(A83,""VIJ""),""AP"",REGEXMATCH(A83,""HYD""),""HYD"",REGEXMATCH(A83,""MUM""),""MUM"")"),"NCR")</f>
        <v>NCR</v>
      </c>
      <c r="D34" s="7" t="s">
        <v>37</v>
      </c>
      <c r="E34" s="8">
        <v>0.375</v>
      </c>
      <c r="F34" s="5">
        <v>2</v>
      </c>
      <c r="G34" s="9" t="s">
        <v>24</v>
      </c>
    </row>
    <row r="35" spans="1:7">
      <c r="A35" s="5">
        <v>12</v>
      </c>
      <c r="B35" s="6">
        <v>46297</v>
      </c>
      <c r="C35" s="5" t="str">
        <f>IFERROR(__xludf.DUMMYFUNCTION("IFS(REGEXMATCH(A60,""PUN""),""PUN"",REGEXMATCH(A60,""NCR""),""NCR"",REGEXMATCH(A60,""BLR""),""BLR"",REGEXMATCH(A60,""VIJ""),""AP"",REGEXMATCH(A60,""HYD""),""HYD"",REGEXMATCH(A60,""MUM""),""MUM"")"),"HYD")</f>
        <v>HYD</v>
      </c>
      <c r="D35" s="7" t="s">
        <v>38</v>
      </c>
      <c r="E35" s="8">
        <v>0.333333333333333</v>
      </c>
      <c r="F35" s="5">
        <v>6</v>
      </c>
      <c r="G35" s="9" t="s">
        <v>22</v>
      </c>
    </row>
    <row r="36" spans="1:7">
      <c r="A36" s="5"/>
      <c r="B36" s="6">
        <v>46297</v>
      </c>
      <c r="C36" s="5"/>
      <c r="D36" s="7"/>
      <c r="E36" s="8">
        <v>0.333333333333333</v>
      </c>
      <c r="F36" s="5">
        <v>13</v>
      </c>
      <c r="G36" s="9" t="s">
        <v>19</v>
      </c>
    </row>
    <row r="37" spans="1:7">
      <c r="A37" s="5"/>
      <c r="B37" s="6">
        <v>46297</v>
      </c>
      <c r="C37" s="5"/>
      <c r="D37" s="7"/>
      <c r="E37" s="8">
        <v>0.333333333333333</v>
      </c>
      <c r="F37" s="5">
        <v>14</v>
      </c>
      <c r="G37" s="9" t="s">
        <v>28</v>
      </c>
    </row>
    <row r="38" spans="1:7">
      <c r="A38" s="5"/>
      <c r="B38" s="6">
        <v>46297</v>
      </c>
      <c r="C38" s="5"/>
      <c r="D38" s="7"/>
      <c r="E38" s="8">
        <v>0.333333333333333</v>
      </c>
      <c r="F38" s="5">
        <v>15</v>
      </c>
      <c r="G38" s="9" t="s">
        <v>21</v>
      </c>
    </row>
    <row r="39" spans="1:7">
      <c r="A39" s="5"/>
      <c r="B39" s="6">
        <v>46297</v>
      </c>
      <c r="C39" s="5"/>
      <c r="D39" s="7"/>
      <c r="E39" s="8">
        <v>0.333333333333333</v>
      </c>
      <c r="F39" s="5">
        <v>16</v>
      </c>
      <c r="G39" s="9" t="s">
        <v>24</v>
      </c>
    </row>
    <row r="40" spans="1:7">
      <c r="A40" s="5"/>
      <c r="B40" s="6">
        <v>46297</v>
      </c>
      <c r="C40" s="5"/>
      <c r="D40" s="7"/>
      <c r="E40" s="8">
        <v>0.333333333333333</v>
      </c>
      <c r="F40" s="5">
        <v>17</v>
      </c>
      <c r="G40" s="9" t="s">
        <v>14</v>
      </c>
    </row>
    <row r="41" spans="1:7">
      <c r="A41" s="5"/>
      <c r="B41" s="6">
        <v>46297</v>
      </c>
      <c r="C41" s="5"/>
      <c r="D41" s="7"/>
      <c r="E41" s="8">
        <v>0.333333333333333</v>
      </c>
      <c r="F41" s="5">
        <v>18</v>
      </c>
      <c r="G41" s="9" t="s">
        <v>35</v>
      </c>
    </row>
    <row r="42" spans="1:7">
      <c r="A42" s="5"/>
      <c r="B42" s="6">
        <v>46297</v>
      </c>
      <c r="C42" s="5"/>
      <c r="D42" s="7"/>
      <c r="E42" s="8">
        <v>0.333333333333333</v>
      </c>
      <c r="F42" s="5">
        <v>19</v>
      </c>
      <c r="G42" s="9" t="s">
        <v>34</v>
      </c>
    </row>
    <row r="43" spans="1:7">
      <c r="A43" s="5"/>
      <c r="B43" s="6">
        <v>46297</v>
      </c>
      <c r="C43" s="5"/>
      <c r="D43" s="7"/>
      <c r="E43" s="8">
        <v>0.333333333333333</v>
      </c>
      <c r="F43" s="5">
        <v>20</v>
      </c>
      <c r="G43" s="9" t="s">
        <v>20</v>
      </c>
    </row>
    <row r="44" spans="1:7">
      <c r="A44" s="5">
        <v>13</v>
      </c>
      <c r="B44" s="6">
        <v>46297</v>
      </c>
      <c r="C44" s="5" t="str">
        <f>IFERROR(__xludf.DUMMYFUNCTION("IFS(REGEXMATCH(A61,""PUN""),""PUN"",REGEXMATCH(A61,""NCR""),""NCR"",REGEXMATCH(A61,""BLR""),""BLR"",REGEXMATCH(A61,""VIJ""),""AP"",REGEXMATCH(A61,""HYD""),""HYD"",REGEXMATCH(A61,""MUM""),""MUM"")"),"HYD")</f>
        <v>HYD</v>
      </c>
      <c r="D44" s="7" t="s">
        <v>39</v>
      </c>
      <c r="E44" s="8">
        <v>0.333333333333333</v>
      </c>
      <c r="F44" s="5">
        <v>7</v>
      </c>
      <c r="G44" s="9" t="s">
        <v>14</v>
      </c>
    </row>
    <row r="45" spans="1:7">
      <c r="A45" s="5">
        <v>14</v>
      </c>
      <c r="B45" s="6">
        <v>46297</v>
      </c>
      <c r="C45" s="5" t="str">
        <f>IFERROR(__xludf.DUMMYFUNCTION("IFS(REGEXMATCH(A63,""PUN""),""PUN"",REGEXMATCH(A63,""NCR""),""NCR"",REGEXMATCH(A63,""BLR""),""BLR"",REGEXMATCH(A63,""VIJ""),""AP"",REGEXMATCH(A63,""HYD""),""HYD"",REGEXMATCH(A63,""MUM""),""MUM"")"),"HYD")</f>
        <v>HYD</v>
      </c>
      <c r="D45" s="7" t="s">
        <v>40</v>
      </c>
      <c r="E45" s="8">
        <v>0.333333333333333</v>
      </c>
      <c r="F45" s="5">
        <v>14</v>
      </c>
      <c r="G45" s="9" t="s">
        <v>35</v>
      </c>
    </row>
    <row r="46" spans="1:7">
      <c r="A46" s="5"/>
      <c r="B46" s="6">
        <v>46297</v>
      </c>
      <c r="C46" s="5"/>
      <c r="D46" s="7"/>
      <c r="E46" s="8">
        <v>0.333333333333333</v>
      </c>
      <c r="F46" s="5">
        <v>15</v>
      </c>
      <c r="G46" s="9" t="s">
        <v>20</v>
      </c>
    </row>
    <row r="47" spans="1:7">
      <c r="A47" s="5">
        <v>15</v>
      </c>
      <c r="B47" s="6">
        <v>46297</v>
      </c>
      <c r="C47" s="5" t="str">
        <f>IFERROR(__xludf.DUMMYFUNCTION("IFS(REGEXMATCH(A64,""PUN""),""PUN"",REGEXMATCH(A64,""NCR""),""NCR"",REGEXMATCH(A64,""BLR""),""BLR"",REGEXMATCH(A64,""VIJ""),""AP"",REGEXMATCH(A64,""HYD""),""HYD"",REGEXMATCH(A64,""MUM""),""MUM"")"),"HYD")</f>
        <v>HYD</v>
      </c>
      <c r="D47" s="7" t="s">
        <v>41</v>
      </c>
      <c r="E47" s="8">
        <v>0.333333333333333</v>
      </c>
      <c r="F47" s="5">
        <v>12</v>
      </c>
      <c r="G47" s="9" t="s">
        <v>35</v>
      </c>
    </row>
    <row r="48" spans="1:7">
      <c r="A48" s="5"/>
      <c r="B48" s="6">
        <v>46297</v>
      </c>
      <c r="C48" s="5"/>
      <c r="D48" s="7"/>
      <c r="E48" s="8">
        <v>0.333333333333333</v>
      </c>
      <c r="F48" s="5">
        <v>13</v>
      </c>
      <c r="G48" s="9" t="s">
        <v>19</v>
      </c>
    </row>
    <row r="49" spans="1:7">
      <c r="A49" s="5"/>
      <c r="B49" s="6">
        <v>46297</v>
      </c>
      <c r="C49" s="5"/>
      <c r="D49" s="7"/>
      <c r="E49" s="8">
        <v>0.333333333333333</v>
      </c>
      <c r="F49" s="5">
        <v>19</v>
      </c>
      <c r="G49" s="9" t="s">
        <v>34</v>
      </c>
    </row>
    <row r="50" spans="1:7">
      <c r="A50" s="5">
        <v>16</v>
      </c>
      <c r="B50" s="6">
        <v>46297</v>
      </c>
      <c r="C50" s="5" t="str">
        <f>IFERROR(__xludf.DUMMYFUNCTION("IFS(REGEXMATCH(A65,""PUN""),""PUN"",REGEXMATCH(A65,""NCR""),""NCR"",REGEXMATCH(A65,""BLR""),""BLR"",REGEXMATCH(A65,""VIJ""),""AP"",REGEXMATCH(A65,""HYD""),""HYD"",REGEXMATCH(A65,""MUM""),""MUM"")"),"HYD")</f>
        <v>HYD</v>
      </c>
      <c r="D50" s="7" t="s">
        <v>42</v>
      </c>
      <c r="E50" s="8">
        <v>0.333333333333333</v>
      </c>
      <c r="F50" s="5">
        <v>7</v>
      </c>
      <c r="G50" s="9" t="s">
        <v>20</v>
      </c>
    </row>
    <row r="51" spans="1:7">
      <c r="A51" s="5"/>
      <c r="B51" s="6">
        <v>46297</v>
      </c>
      <c r="C51" s="5"/>
      <c r="D51" s="7"/>
      <c r="E51" s="8">
        <v>0.333333333333333</v>
      </c>
      <c r="F51" s="5">
        <v>10</v>
      </c>
      <c r="G51" s="9" t="s">
        <v>21</v>
      </c>
    </row>
    <row r="52" spans="1:7">
      <c r="A52" s="5"/>
      <c r="B52" s="6">
        <v>46297</v>
      </c>
      <c r="C52" s="5"/>
      <c r="D52" s="7"/>
      <c r="E52" s="8">
        <v>0.333333333333333</v>
      </c>
      <c r="F52" s="5">
        <v>20</v>
      </c>
      <c r="G52" s="9" t="s">
        <v>24</v>
      </c>
    </row>
    <row r="53" spans="1:7">
      <c r="A53" s="5">
        <v>17</v>
      </c>
      <c r="B53" s="6">
        <v>46297</v>
      </c>
      <c r="C53" s="5" t="str">
        <f>IFERROR(__xludf.DUMMYFUNCTION("IFS(REGEXMATCH(A66,""PUN""),""PUN"",REGEXMATCH(A66,""NCR""),""NCR"",REGEXMATCH(A66,""BLR""),""BLR"",REGEXMATCH(A66,""VIJ""),""AP"",REGEXMATCH(A66,""HYD""),""HYD"",REGEXMATCH(A66,""MUM""),""MUM"")"),"HYD")</f>
        <v>HYD</v>
      </c>
      <c r="D53" s="7" t="s">
        <v>43</v>
      </c>
      <c r="E53" s="8">
        <v>0.333333333333333</v>
      </c>
      <c r="F53" s="5">
        <v>8</v>
      </c>
      <c r="G53" s="9" t="s">
        <v>10</v>
      </c>
    </row>
    <row r="54" spans="1:7">
      <c r="A54" s="5"/>
      <c r="B54" s="6">
        <v>46297</v>
      </c>
      <c r="C54" s="5"/>
      <c r="D54" s="7"/>
      <c r="E54" s="8">
        <v>0.333333333333333</v>
      </c>
      <c r="F54" s="5">
        <v>9</v>
      </c>
      <c r="G54" s="9" t="s">
        <v>22</v>
      </c>
    </row>
    <row r="55" spans="1:7">
      <c r="A55" s="5"/>
      <c r="B55" s="6">
        <v>46297</v>
      </c>
      <c r="C55" s="5"/>
      <c r="D55" s="7"/>
      <c r="E55" s="8">
        <v>0.333333333333333</v>
      </c>
      <c r="F55" s="5">
        <v>19</v>
      </c>
      <c r="G55" s="9" t="s">
        <v>44</v>
      </c>
    </row>
    <row r="56" spans="1:7">
      <c r="A56" s="5">
        <v>18</v>
      </c>
      <c r="B56" s="6">
        <v>46297</v>
      </c>
      <c r="C56" s="5" t="str">
        <f>IFERROR(__xludf.DUMMYFUNCTION("IFS(REGEXMATCH(A67,""PUN""),""PUN"",REGEXMATCH(A67,""NCR""),""NCR"",REGEXMATCH(A67,""BLR""),""BLR"",REGEXMATCH(A67,""VIJ""),""AP"",REGEXMATCH(A67,""HYD""),""HYD"",REGEXMATCH(A67,""MUM""),""MUM"")"),"HYD")</f>
        <v>HYD</v>
      </c>
      <c r="D56" s="7" t="s">
        <v>45</v>
      </c>
      <c r="E56" s="8">
        <v>0.333333333333333</v>
      </c>
      <c r="F56" s="5">
        <v>17</v>
      </c>
      <c r="G56" s="9" t="s">
        <v>19</v>
      </c>
    </row>
    <row r="57" spans="1:7">
      <c r="A57" s="5"/>
      <c r="B57" s="6">
        <v>46297</v>
      </c>
      <c r="C57" s="5"/>
      <c r="D57" s="7"/>
      <c r="E57" s="8">
        <v>0.333333333333333</v>
      </c>
      <c r="F57" s="5">
        <v>20</v>
      </c>
      <c r="G57" s="9" t="s">
        <v>35</v>
      </c>
    </row>
    <row r="58" spans="1:7">
      <c r="A58" s="5">
        <v>19</v>
      </c>
      <c r="B58" s="6">
        <v>46297</v>
      </c>
      <c r="C58" s="5" t="str">
        <f>IFERROR(__xludf.DUMMYFUNCTION("IFS(REGEXMATCH(A71,""PUN""),""PUN"",REGEXMATCH(A71,""NCR""),""NCR"",REGEXMATCH(A71,""BLR""),""BLR"",REGEXMATCH(A71,""VIJ""),""AP"",REGEXMATCH(A71,""HYD""),""HYD"",REGEXMATCH(A71,""MUM""),""MUM"")"),"HYD")</f>
        <v>HYD</v>
      </c>
      <c r="D58" s="7" t="s">
        <v>46</v>
      </c>
      <c r="E58" s="8">
        <v>0.375</v>
      </c>
      <c r="F58" s="5">
        <v>12</v>
      </c>
      <c r="G58" s="9" t="s">
        <v>35</v>
      </c>
    </row>
    <row r="59" spans="1:7">
      <c r="A59" s="5"/>
      <c r="B59" s="6">
        <v>46297</v>
      </c>
      <c r="C59" s="5"/>
      <c r="D59" s="7"/>
      <c r="E59" s="8">
        <v>0.375</v>
      </c>
      <c r="F59" s="5">
        <v>15</v>
      </c>
      <c r="G59" s="9" t="s">
        <v>10</v>
      </c>
    </row>
    <row r="60" spans="1:7">
      <c r="A60" s="5"/>
      <c r="B60" s="6">
        <v>46297</v>
      </c>
      <c r="C60" s="5"/>
      <c r="D60" s="7"/>
      <c r="E60" s="8">
        <v>0.375</v>
      </c>
      <c r="F60" s="5">
        <v>16</v>
      </c>
      <c r="G60" s="9" t="s">
        <v>30</v>
      </c>
    </row>
    <row r="61" spans="1:7">
      <c r="A61" s="5">
        <v>20</v>
      </c>
      <c r="B61" s="6">
        <v>46297</v>
      </c>
      <c r="C61" s="5" t="str">
        <f>IFERROR(__xludf.DUMMYFUNCTION("IFS(REGEXMATCH(A72,""PUN""),""PUN"",REGEXMATCH(A72,""NCR""),""NCR"",REGEXMATCH(A72,""BLR""),""BLR"",REGEXMATCH(A72,""VIJ""),""AP"",REGEXMATCH(A72,""HYD""),""HYD"",REGEXMATCH(A72,""MUM""),""MUM"")"),"HYD")</f>
        <v>HYD</v>
      </c>
      <c r="D61" s="7" t="s">
        <v>47</v>
      </c>
      <c r="E61" s="8">
        <v>0.333333333333333</v>
      </c>
      <c r="F61" s="5">
        <v>19</v>
      </c>
      <c r="G61" s="9" t="s">
        <v>11</v>
      </c>
    </row>
    <row r="62" spans="1:7">
      <c r="A62" s="5">
        <v>21</v>
      </c>
      <c r="B62" s="6">
        <v>46297</v>
      </c>
      <c r="C62" s="5" t="str">
        <f>IFERROR(__xludf.DUMMYFUNCTION("IFS(REGEXMATCH(A76,""PUN""),""PUN"",REGEXMATCH(A76,""NCR""),""NCR"",REGEXMATCH(A76,""BLR""),""BLR"",REGEXMATCH(A76,""VIJ""),""AP"",REGEXMATCH(A76,""HYD""),""HYD"",REGEXMATCH(A76,""MUM""),""MUM"")"),"HYD")</f>
        <v>HYD</v>
      </c>
      <c r="D62" s="7" t="s">
        <v>48</v>
      </c>
      <c r="E62" s="8">
        <v>0.416666666666667</v>
      </c>
      <c r="F62" s="5">
        <v>7</v>
      </c>
      <c r="G62" s="9" t="s">
        <v>49</v>
      </c>
    </row>
    <row r="63" spans="1:7">
      <c r="A63" s="5">
        <v>22</v>
      </c>
      <c r="B63" s="6">
        <v>46297</v>
      </c>
      <c r="C63" s="5" t="str">
        <f>IFERROR(__xludf.DUMMYFUNCTION("IFS(REGEXMATCH(A80,""PUN""),""PUN"",REGEXMATCH(A80,""NCR""),""NCR"",REGEXMATCH(A80,""BLR""),""BLR"",REGEXMATCH(A80,""VIJ""),""AP"",REGEXMATCH(A80,""HYD""),""HYD"",REGEXMATCH(A80,""MUM""),""MUM"")"),"HYD")</f>
        <v>HYD</v>
      </c>
      <c r="D63" s="7" t="s">
        <v>50</v>
      </c>
      <c r="E63" s="8">
        <v>0</v>
      </c>
      <c r="F63" s="5">
        <v>15</v>
      </c>
      <c r="G63" s="9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MORNING OOS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Harleys</dc:creator>
  <cp:lastModifiedBy>Harleys</cp:lastModifiedBy>
  <dcterms:created xsi:type="dcterms:W3CDTF">2026-10-03T11:05:47Z</dcterms:created>
  <dcterms:modified xsi:type="dcterms:W3CDTF">2026-10-03T11:05:48Z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722A12EB8C074575B862DDB488AC7D10_11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