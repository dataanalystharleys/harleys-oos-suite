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/>
  </bookViews>
  <sheets>
    <sheet name="EVENING OOS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<sst xmlns="http://schemas.openxmlformats.org/spreadsheetml/2006/main" count="33" uniqueCount="27">
  <si>
    <t>Total Outlets: 9</t>
  </si>
  <si>
    <t>Total Items with OOS at 5 PM: 15</t>
  </si>
  <si>
    <t>Cutoff Time: 5:00 PM (17:00)</t>
  </si>
  <si>
    <t>S/No</t>
  </si>
  <si>
    <t>Date</t>
  </si>
  <si>
    <t>CITY</t>
  </si>
  <si>
    <t>Branch Name</t>
  </si>
  <si>
    <t>Top 20 Rank</t>
  </si>
  <si>
    <t>Item Name</t>
  </si>
  <si>
    <t>KA-BLR-Cloud FC Mahadevpura</t>
  </si>
  <si>
    <t>Assorted Cheesecakes (Pack Of 6)</t>
  </si>
  <si>
    <t>Pack Of 4 Cheesecakes And 4 Macarons</t>
  </si>
  <si>
    <t>Pack Of 4 Medoviks And 4 Macarons</t>
  </si>
  <si>
    <t>Assorted Medoviks (Pack Of 6)</t>
  </si>
  <si>
    <t>KA-BLR-Cloud FC NBL</t>
  </si>
  <si>
    <t>Assorted French Macarons (Pack Of 12)</t>
  </si>
  <si>
    <t>KA-BLR-Express Outlet Mall Of Asia</t>
  </si>
  <si>
    <t>MH-MUM-Cloud FC BKC</t>
  </si>
  <si>
    <t>Assorted French Macarons (Pack Of 24)</t>
  </si>
  <si>
    <t>MH-MUM-Cloud FC Borivali</t>
  </si>
  <si>
    <t>MH-MUM-Express Outlet Palladium</t>
  </si>
  <si>
    <t>Italian Cappuccino</t>
  </si>
  <si>
    <t>TG-HYD-Cloud FC Dilshuk Nagar</t>
  </si>
  <si>
    <t>Chef's Favourite Blueberry Cheesecake With Macaron</t>
  </si>
  <si>
    <t>TG-HYD-Cloud FC Habsiguda</t>
  </si>
  <si>
    <t>TG-HYD-Express Outlet Kapil Tower</t>
  </si>
  <si>
    <t>Assorted French Macarons (Pack Of 5)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</si>
</sst>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2E6"/>
        <bgColor indexed="64"/>
      </patternFill>
    </fill>
    <fill>
      <patternFill patternType="solid">
        <fgColor rgb="FFF2E1D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6" borderId="6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0" xfId="0" applyFont="1" applyFill="1" applyAlignment="1"/>
    <xf numFmtId="180" fontId="1" fillId="2" borderId="0" xfId="0" applyNumberFormat="1" applyFont="1" applyFill="1" applyAlignment="1"/>
    <xf numFmtId="0" fontId="1" fillId="2" borderId="0" xfId="0" applyFont="1" applyFill="1" applyAlignment="1"/>
    <xf numFmtId="0" fontId="1" fillId="3" borderId="1" xfId="0" applyFont="1" applyFill="1" applyBorder="1" applyAlignment="1">
      <alignment horizontal="center"/>
    </xf>
    <xf numFmtId="0" fontId="0" fillId="0" borderId="1" xfId="0" applyFont="1" applyFill="1" applyBorder="1" applyAlignment="1">
      <alignment horizontal="center"/>
    </xf>
    <xf numFmtId="180" fontId="0" fillId="0" borderId="1" xfId="0" applyNumberFormat="1" applyFont="1" applyFill="1" applyBorder="1" applyAlignment="1">
      <alignment horizontal="center"/>
    </xf>
    <xf numFmtId="0" fontId="0" fillId="0" borderId="1" xfId="0" applyFont="1" applyFill="1" applyBorder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7"/>
  <sheetViews>
    <sheetView tabSelected="1" workbookViewId="0">
      <selection activeCell="A1" sqref="A1"/>
    </sheetView>
  </sheetViews>
  <sheetFormatPr defaultColWidth="8.72727272727273" defaultRowHeight="14.5" outlineLevelCol="5"/>
  <cols>
    <col min="1" max="1" width="5.63636363636364" style="1" customWidth="1"/>
    <col min="2" max="2" width="11" style="1" customWidth="1"/>
    <col min="3" max="3" width="15.0909090909091" style="1" customWidth="1"/>
    <col min="4" max="4" width="33.9090909090909" style="1" customWidth="1"/>
    <col min="5" max="5" width="27.4545454545455" style="1" customWidth="1"/>
    <col min="6" max="6" width="50.5454545454545" style="1" customWidth="1"/>
    <col min="7" max="16384" width="8.72727272727273" style="1"/>
  </cols>
  <sheetData>
    <row r="1" spans="1:6">
      <c r="B1" s="2">
        <v>46297</v>
      </c>
      <c r="C1" s="3" t="s">
        <v>0</v>
      </c>
      <c r="D1" s="3" t="s">
        <v>1</v>
      </c>
      <c r="E1" s="3" t="s">
        <v>2</v>
      </c>
      <c r="F1" s="3"/>
    </row>
    <row r="2" spans="1:6">
      <c r="A2" s="4" t="s">
        <v>3</v>
      </c>
      <c r="B2" s="4" t="s">
        <v>4</v>
      </c>
      <c r="C2" s="4" t="s">
        <v>5</v>
      </c>
      <c r="D2" s="4" t="s">
        <v>6</v>
      </c>
      <c r="E2" s="4" t="s">
        <v>7</v>
      </c>
      <c r="F2" s="4" t="s">
        <v>8</v>
      </c>
    </row>
    <row r="3" spans="1:6">
      <c r="A3" s="5">
        <v>1</v>
      </c>
      <c r="B3" s="6">
        <v>46297</v>
      </c>
      <c r="C3" s="5" t="str">
        <f>IFERROR(__xludf.DUMMYFUNCTION("IFS(REGEXMATCH(A23,""PUN""),""PUN"",REGEXMATCH(A23,""NCR""),""NCR"",REGEXMATCH(A23,""BLR""),""BLR"",REGEXMATCH(A23,""VIJ""),""AP"",REGEXMATCH(A23,""HYD""),""HYD"",REGEXMATCH(A23,""MUM""),""MUM"")"),"BLR")</f>
        <v>BLR</v>
      </c>
      <c r="D3" s="7" t="s">
        <v>9</v>
      </c>
      <c r="E3" s="5">
        <v>4</v>
      </c>
      <c r="F3" s="7" t="s">
        <v>10</v>
      </c>
    </row>
    <row r="4" spans="1:6">
      <c r="A4" s="5"/>
      <c r="B4" s="6">
        <v>46297</v>
      </c>
      <c r="C4" s="5"/>
      <c r="D4" s="7"/>
      <c r="E4" s="5">
        <v>10</v>
      </c>
      <c r="F4" s="7" t="s">
        <v>11</v>
      </c>
    </row>
    <row r="5" spans="1:6">
      <c r="A5" s="5"/>
      <c r="B5" s="6">
        <v>46297</v>
      </c>
      <c r="C5" s="5"/>
      <c r="D5" s="7"/>
      <c r="E5" s="5">
        <v>11</v>
      </c>
      <c r="F5" s="7" t="s">
        <v>12</v>
      </c>
    </row>
    <row r="6" spans="1:6">
      <c r="A6" s="5"/>
      <c r="B6" s="6">
        <v>46297</v>
      </c>
      <c r="C6" s="5"/>
      <c r="D6" s="7"/>
      <c r="E6" s="5">
        <v>17</v>
      </c>
      <c r="F6" s="7" t="s">
        <v>13</v>
      </c>
    </row>
    <row r="7" spans="1:6">
      <c r="A7" s="5">
        <v>2</v>
      </c>
      <c r="B7" s="6">
        <v>46297</v>
      </c>
      <c r="C7" s="5" t="str">
        <f>IFERROR(__xludf.DUMMYFUNCTION("IFS(REGEXMATCH(A26,""PUN""),""PUN"",REGEXMATCH(A26,""NCR""),""NCR"",REGEXMATCH(A26,""BLR""),""BLR"",REGEXMATCH(A26,""VIJ""),""AP"",REGEXMATCH(A26,""HYD""),""HYD"",REGEXMATCH(A26,""MUM""),""MUM"")"),"BLR")</f>
        <v>BLR</v>
      </c>
      <c r="D7" s="7" t="s">
        <v>14</v>
      </c>
      <c r="E7" s="5">
        <v>16</v>
      </c>
      <c r="F7" s="7" t="s">
        <v>15</v>
      </c>
    </row>
    <row r="8" spans="1:6">
      <c r="A8" s="5">
        <v>3</v>
      </c>
      <c r="B8" s="6">
        <v>46297</v>
      </c>
      <c r="C8" s="5" t="str">
        <f>IFERROR(__xludf.DUMMYFUNCTION("IFS(REGEXMATCH(A32,""PUN""),""PUN"",REGEXMATCH(A32,""NCR""),""NCR"",REGEXMATCH(A32,""BLR""),""BLR"",REGEXMATCH(A32,""VIJ""),""AP"",REGEXMATCH(A32,""HYD""),""HYD"",REGEXMATCH(A32,""MUM""),""MUM"")"),"BLR")</f>
        <v>BLR</v>
      </c>
      <c r="D8" s="7" t="s">
        <v>16</v>
      </c>
      <c r="E8" s="5">
        <v>10</v>
      </c>
      <c r="F8" s="7" t="s">
        <v>10</v>
      </c>
    </row>
    <row r="9" spans="1:6">
      <c r="A9" s="5"/>
      <c r="B9" s="6">
        <v>46297</v>
      </c>
      <c r="C9" s="5"/>
      <c r="D9" s="7"/>
      <c r="E9" s="5">
        <v>16</v>
      </c>
      <c r="F9" s="7" t="s">
        <v>11</v>
      </c>
    </row>
    <row r="10" spans="1:6">
      <c r="A10" s="5">
        <v>4</v>
      </c>
      <c r="B10" s="6">
        <v>46297</v>
      </c>
      <c r="C10" s="5" t="str">
        <f>IFERROR(__xludf.DUMMYFUNCTION("IFS(REGEXMATCH(A37,""PUN""),""PUN"",REGEXMATCH(A37,""NCR""),""NCR"",REGEXMATCH(A37,""BLR""),""BLR"",REGEXMATCH(A37,""VIJ""),""AP"",REGEXMATCH(A37,""HYD""),""HYD"",REGEXMATCH(A37,""MUM""),""MUM"")"),"MUM")</f>
        <v>MUM</v>
      </c>
      <c r="D10" s="7" t="s">
        <v>17</v>
      </c>
      <c r="E10" s="5">
        <v>12</v>
      </c>
      <c r="F10" s="7" t="s">
        <v>18</v>
      </c>
    </row>
    <row r="11" spans="1:6">
      <c r="A11" s="5">
        <v>5</v>
      </c>
      <c r="B11" s="6">
        <v>46297</v>
      </c>
      <c r="C11" s="5" t="str">
        <f>IFERROR(__xludf.DUMMYFUNCTION("IFS(REGEXMATCH(A38,""PUN""),""PUN"",REGEXMATCH(A38,""NCR""),""NCR"",REGEXMATCH(A38,""BLR""),""BLR"",REGEXMATCH(A38,""VIJ""),""AP"",REGEXMATCH(A38,""HYD""),""HYD"",REGEXMATCH(A38,""MUM""),""MUM"")"),"MUM")</f>
        <v>MUM</v>
      </c>
      <c r="D11" s="7" t="s">
        <v>19</v>
      </c>
      <c r="E11" s="5">
        <v>5</v>
      </c>
      <c r="F11" s="7" t="s">
        <v>15</v>
      </c>
    </row>
    <row r="12" spans="1:6">
      <c r="A12" s="5">
        <v>6</v>
      </c>
      <c r="B12" s="6">
        <v>46297</v>
      </c>
      <c r="C12" s="5" t="str">
        <f>IFERROR(__xludf.DUMMYFUNCTION("IFS(REGEXMATCH(A47,""PUN""),""PUN"",REGEXMATCH(A47,""NCR""),""NCR"",REGEXMATCH(A47,""BLR""),""BLR"",REGEXMATCH(A47,""VIJ""),""AP"",REGEXMATCH(A47,""HYD""),""HYD"",REGEXMATCH(A47,""MUM""),""MUM"")"),"MUM")</f>
        <v>MUM</v>
      </c>
      <c r="D12" s="7" t="s">
        <v>20</v>
      </c>
      <c r="E12" s="5">
        <v>13</v>
      </c>
      <c r="F12" s="7" t="s">
        <v>21</v>
      </c>
    </row>
    <row r="13" spans="1:6">
      <c r="A13" s="5">
        <v>7</v>
      </c>
      <c r="B13" s="6">
        <v>46297</v>
      </c>
      <c r="C13" s="5" t="str">
        <f>IFERROR(__xludf.DUMMYFUNCTION("IFS(REGEXMATCH(A63,""PUN""),""PUN"",REGEXMATCH(A63,""NCR""),""NCR"",REGEXMATCH(A63,""BLR""),""BLR"",REGEXMATCH(A63,""VIJ""),""AP"",REGEXMATCH(A63,""HYD""),""HYD"",REGEXMATCH(A63,""MUM""),""MUM"")"),"HYD")</f>
        <v>HYD</v>
      </c>
      <c r="D13" s="7" t="s">
        <v>22</v>
      </c>
      <c r="E13" s="5">
        <v>14</v>
      </c>
      <c r="F13" s="7" t="s">
        <v>23</v>
      </c>
    </row>
    <row r="14" spans="1:6">
      <c r="A14" s="5"/>
      <c r="B14" s="6">
        <v>46297</v>
      </c>
      <c r="C14" s="5"/>
      <c r="D14" s="7"/>
      <c r="E14" s="5">
        <v>15</v>
      </c>
      <c r="F14" s="7" t="s">
        <v>11</v>
      </c>
    </row>
    <row r="15" spans="1:6">
      <c r="A15" s="5">
        <v>8</v>
      </c>
      <c r="B15" s="6">
        <v>46297</v>
      </c>
      <c r="C15" s="5" t="str">
        <f>IFERROR(__xludf.DUMMYFUNCTION("IFS(REGEXMATCH(A65,""PUN""),""PUN"",REGEXMATCH(A65,""NCR""),""NCR"",REGEXMATCH(A65,""BLR""),""BLR"",REGEXMATCH(A65,""VIJ""),""AP"",REGEXMATCH(A65,""HYD""),""HYD"",REGEXMATCH(A65,""MUM""),""MUM"")"),"HYD")</f>
        <v>HYD</v>
      </c>
      <c r="D15" s="7" t="s">
        <v>24</v>
      </c>
      <c r="E15" s="5">
        <v>20</v>
      </c>
      <c r="F15" s="7" t="s">
        <v>15</v>
      </c>
    </row>
    <row r="16" spans="1:6">
      <c r="A16" s="5">
        <v>9</v>
      </c>
      <c r="B16" s="6">
        <v>46297</v>
      </c>
      <c r="C16" s="5" t="str">
        <f>IFERROR(__xludf.DUMMYFUNCTION("IFS(REGEXMATCH(A71,""PUN""),""PUN"",REGEXMATCH(A71,""NCR""),""NCR"",REGEXMATCH(A71,""BLR""),""BLR"",REGEXMATCH(A71,""VIJ""),""AP"",REGEXMATCH(A71,""HYD""),""HYD"",REGEXMATCH(A71,""MUM""),""MUM"")"),"HYD")</f>
        <v>HYD</v>
      </c>
      <c r="D16" s="7" t="s">
        <v>25</v>
      </c>
      <c r="E16" s="5">
        <v>6</v>
      </c>
      <c r="F16" s="7" t="s">
        <v>26</v>
      </c>
    </row>
    <row r="17" spans="1:6">
      <c r="A17" s="5"/>
      <c r="B17" s="6">
        <v>46297</v>
      </c>
      <c r="C17" s="5"/>
      <c r="D17" s="7"/>
      <c r="E17" s="5">
        <v>12</v>
      </c>
      <c r="F17" s="7" t="s">
        <v>23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EVENING OOS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Harleys</dc:creator>
  <cp:lastModifiedBy>Harleys</cp:lastModifiedBy>
  <dcterms:created xsi:type="dcterms:W3CDTF">2026-10-03T11:05:48Z</dcterms:created>
  <dcterms:modified xsi:type="dcterms:W3CDTF">2026-10-03T11:05:48Z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338FCA37D25144489CDABE6A87C4CA71_11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1</vt:i4>
  </property>
</Properties>
</file>